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tbl4uWmeKzFY4nS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<sst xmlns="http://schemas.openxmlformats.org/spreadsheetml/2006/main" count="36" uniqueCount="28">
  <si>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日期</t>
  </si>
  <si>
    <t>Repo name</t>
  </si>
  <si>
    <t>key highlights</t>
  </si>
  <si>
    <t>Repo URL</t>
  </si>
  <si>
    <t>Article URL</t>
  </si>
  <si>
    <t>2026年3月</t>
  </si>
  <si>
    <t xml:space="preserve">OpenClaw-Medical-Skills </t>
  </si>
  <si>
    <t>1.869 curated medical / biomedical skills
2.Covers clinical、genomics、drug discovery、bioinformatics、medical devices
3.Representative skills 包括 PubMed/FDA/ClinicalTrials queries、RNA-seq/scRNA-seq/GWAS、VCF annotation、SOAP/discharge summaries
4.采用 self-contained SKILL.md packaging，并支持灵活的 OpenClaw 安装</t>
  </si>
  <si>
    <t>ScienceClaw</t>
  </si>
  <si>
    <t xml:space="preserve">1.Cross-domain scientific discovery
2.300+ interoperable scientific skills
3.Artifact DAG + shared scientific platform
4.large-scale scientific skill ecosystems </t>
  </si>
  <si>
    <t>https://arxiv.org/abs/2603.14312</t>
  </si>
  <si>
    <t xml:space="preserve">2026年2月 </t>
  </si>
  <si>
    <t xml:space="preserve">MedgeClaw </t>
  </si>
  <si>
    <t>1.Biomedical skill ecosystem
2.140 K-Dense scientific skills
3.涵盖 genomics、drug discovery、clinical research、ML
4.包含 domain-specific 的 biomedical skill chains</t>
  </si>
  <si>
    <t>ChemClaw</t>
  </si>
  <si>
    <t>1.Chemistry AI agent skill library
2.在 8 个 task groups 上提供 fine-grained 的 chemistry skills
3.涵盖 literature mining、representation conversion、prediction、computational chemistry、visualization
4.chemistry skill taxonomy 和 packaging</t>
  </si>
  <si>
    <t>LabClaw</t>
  </si>
  <si>
    <t>1.240 production-ready biomedical workflow skills
2.涵盖 biology、omics、drug discovery、clinical、literature search、data science、visualization
3.Representative skills 包括 scanpy/anndata、rdkit/diffdock、precision oncology、clinical trials、statistics、scientific visualization
4.基于 SKILL.md 的 modular library，支持 full-library 或 cherry-picked 安装</t>
  </si>
  <si>
    <t>AIPOCH medical-research-skills</t>
  </si>
  <si>
    <t>1.420+ medical research skills，围绕 Evidence Insights、Protocol Design、Data Analysis、Academic Writing 进行组织
2.Representative skills 包括 evidence appraisal、study design、causal inference planning、bioinformatics/statistical pipelines、SCI writing
3.更偏向 workflow-oriented 而非 tool-oriented，适用于 medical research task decomposition
4.支持 OpenClaw-style integration，并引入 Medical Skill Auditor 用于质量检查</t>
  </si>
  <si>
    <t>scientific-agent-skills</t>
  </si>
  <si>
    <t>1.133 ready-to-use scientific and research skills，覆盖 biology、chemistry、medicine 等多个领域
2.Representative areas 包括 cancer genomics、drug-target binding、molecular dynamics、RNA velocity、geospatial science、time series forecasting，以及 78+ databases
3.主要是一个 fine-grained 的 tool/database/package skill library
4.采用 open Agent Skills standard，并提供 curated docs/examples 以支持可靠的 tool 使用</t>
  </si>
  <si>
    <t>AI-Research-SKILLs</t>
  </si>
  <si>
    <t>1.87 skills，覆盖 22 个 AI research categories
2.涵盖 autoresearch、ideation、ML paper writing、training、evaluation、agents、RAG、multimodal、MLOps
3.混合了 workflow-level 和 tool/framework-level 的 skills
4.作为 AI research skill taxonomy 和基于类别组织方式的参考具有价值</t>
  </si>
  <si>
    <t>PaperClaw</t>
  </si>
  <si>
    <t>1.27 OpenClaw skills，面向 academic research teams
2.覆盖 literature、synthesis、collaboration、output、research tracking
3.Representative skills 包括 living reviews、arXiv monitoring、citation graphs、contradiction detection、Zotero integration、grant writing、hypothesis versioning
4.作为 collaboration 和 knowledge-management 导向的 research skills</t>
  </si>
  <si>
    <t>Awesome-Scientific-Skills</t>
  </si>
  <si>
    <t xml:space="preserve">1.Curated scientific skill collection，涵盖 bioinformatics、cheminformatics、data analysis、scientific writing、literature search
2.目前属于 Phase-1 的 curated link collection，而不是 fully materialized 的 native skill library
3.提供 Skiller 用于 automatic skill packaging，以及 skill-metric 用于 skill evaluation
4.作为 scientific skill 的 curation、packaging 和 evaluation 的 meta-resource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</si>
</sst>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DengXian"/>
      <charset val="134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u/>
      <sz val="10"/>
      <color rgb="FF0000FF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2" sqref="E2"/>
    </sheetView>
  </sheetViews>
  <sheetFormatPr defaultColWidth="11" defaultRowHeight="16.8" outlineLevelCol="4"/>
  <cols>
    <col min="1" max="1" width="14.6517857142857" customWidth="1"/>
    <col min="2" max="2" width="32.1517857142857" customWidth="1"/>
    <col min="3" max="3" width="50.6428571428571" style="1" customWidth="1"/>
    <col min="4" max="4" width="50.6428571428571" customWidth="1"/>
    <col min="5" max="5" width="32.6875" customWidth="1"/>
  </cols>
  <sheetData>
    <row r="1" ht="22.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38" customHeight="1" spans="1:5">
      <c r="A2" s="3" t="s">
        <v>5</v>
      </c>
      <c r="B2" s="3" t="s">
        <v>6</v>
      </c>
      <c r="C2" s="4" t="s">
        <v>7</v>
      </c>
      <c r="D2" s="5" t="str">
        <f>HYPERLINK("https://github.com/FreedomIntelligence/OpenClaw-Medical-Skills","https://github.com/FreedomIntelligence/OpenClaw-Medical-Skills")</f>
        <v>https://github.com/FreedomIntelligence/OpenClaw-Medical-Skills</v>
      </c>
      <c r="E2" s="6"/>
    </row>
    <row r="3" ht="72" customHeight="1" spans="1:5">
      <c r="A3" s="3" t="s">
        <v>5</v>
      </c>
      <c r="B3" s="3" t="s">
        <v>8</v>
      </c>
      <c r="C3" s="4" t="s">
        <v>9</v>
      </c>
      <c r="D3" s="5" t="str">
        <f>HYPERLINK("https://github.com/lamm-mit/scienceclaw","https://github.com/lamm-mit/scienceclaw")</f>
        <v>https://github.com/lamm-mit/scienceclaw</v>
      </c>
      <c r="E3" s="3" t="s">
        <v>10</v>
      </c>
    </row>
    <row r="4" ht="72" customHeight="1" spans="1:5">
      <c r="A4" s="3" t="s">
        <v>11</v>
      </c>
      <c r="B4" s="3" t="s">
        <v>12</v>
      </c>
      <c r="C4" s="4" t="s">
        <v>13</v>
      </c>
      <c r="D4" s="5" t="str">
        <f>HYPERLINK("https://github.com/xjtulyc/MedgeClaw","https://github.com/xjtulyc/MedgeClaw")</f>
        <v>https://github.com/xjtulyc/MedgeClaw</v>
      </c>
      <c r="E4" s="6"/>
    </row>
    <row r="5" ht="105" customHeight="1" spans="1:5">
      <c r="A5" s="3" t="s">
        <v>5</v>
      </c>
      <c r="B5" s="3" t="s">
        <v>14</v>
      </c>
      <c r="C5" s="4" t="s">
        <v>15</v>
      </c>
      <c r="D5" s="5" t="str">
        <f>HYPERLINK("https://github.com/InternScience/ChemClaw","https://github.com/InternScience/ChemClaw")</f>
        <v>https://github.com/InternScience/ChemClaw</v>
      </c>
      <c r="E5" s="6"/>
    </row>
    <row r="6" ht="138" customHeight="1" spans="1:5">
      <c r="A6" s="3" t="s">
        <v>5</v>
      </c>
      <c r="B6" s="3" t="s">
        <v>16</v>
      </c>
      <c r="C6" s="4" t="s">
        <v>17</v>
      </c>
      <c r="D6" s="5" t="str">
        <f>HYPERLINK("https://github.com/wu-yc/LabClaw","https://github.com/wu-yc/LabClaw")</f>
        <v>https://github.com/wu-yc/LabClaw</v>
      </c>
      <c r="E6" s="6"/>
    </row>
    <row r="7" ht="154.5" customHeight="1" spans="1:5">
      <c r="A7" s="3" t="s">
        <v>5</v>
      </c>
      <c r="B7" s="3" t="s">
        <v>18</v>
      </c>
      <c r="C7" s="4" t="s">
        <v>19</v>
      </c>
      <c r="D7" s="5" t="str">
        <f>HYPERLINK("https://github.com/aipoch/medical-research-skills","https://github.com/aipoch/medical-research-skills")</f>
        <v>https://github.com/aipoch/medical-research-skills</v>
      </c>
      <c r="E7" s="6"/>
    </row>
    <row r="8" ht="154.5" customHeight="1" spans="1:5">
      <c r="A8" s="3" t="s">
        <v>5</v>
      </c>
      <c r="B8" s="3" t="s">
        <v>20</v>
      </c>
      <c r="C8" s="4" t="s">
        <v>21</v>
      </c>
      <c r="D8" s="5" t="str">
        <f>HYPERLINK("https://github.com/K-Dense-AI/scientific-agent-skills","https://github.com/K-Dense-AI/scientific-agent-skills")</f>
        <v>https://github.com/K-Dense-AI/scientific-agent-skills</v>
      </c>
      <c r="E8" s="6"/>
    </row>
    <row r="9" ht="105" customHeight="1" spans="1:5">
      <c r="A9" s="3" t="s">
        <v>5</v>
      </c>
      <c r="B9" s="3" t="s">
        <v>22</v>
      </c>
      <c r="C9" s="4" t="s">
        <v>23</v>
      </c>
      <c r="D9" s="5" t="str">
        <f>HYPERLINK("https://github.com/Orchestra-Research/AI-research-SKILLs","https://github.com/Orchestra-Research/AI-research-SKILLs")</f>
        <v>https://github.com/Orchestra-Research/AI-research-SKILLs</v>
      </c>
      <c r="E9" s="6"/>
    </row>
    <row r="10" ht="138" customHeight="1" spans="1:5">
      <c r="A10" s="3" t="s">
        <v>5</v>
      </c>
      <c r="B10" s="3" t="s">
        <v>24</v>
      </c>
      <c r="C10" s="4" t="s">
        <v>25</v>
      </c>
      <c r="D10" s="5" t="str">
        <f>HYPERLINK("https://github.com/meowscles69/PaperClaw","https://github.com/meowscles69/PaperClaw")</f>
        <v>https://github.com/meowscles69/PaperClaw</v>
      </c>
      <c r="E10" s="6"/>
    </row>
    <row r="11" ht="154.5" customHeight="1" spans="1:5">
      <c r="A11" s="3" t="s">
        <v>5</v>
      </c>
      <c r="B11" s="3" t="s">
        <v>26</v>
      </c>
      <c r="C11" s="4" t="s">
        <v>27</v>
      </c>
      <c r="D11" s="5" t="str">
        <f>HYPERLINK("https://github.com/InternScience/Awesome-Scientific-Skills","https://github.com/InternScience/Awesome-Scientific-Skills")</f>
        <v>https://github.com/InternScience/Awesome-Scientific-Skills</v>
      </c>
      <c r="E11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tbl4uWmeKzFY4nSW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李易涵</cp:lastModifiedBy>
  <dcterms:created xsi:type="dcterms:W3CDTF">2006-09-16T08:00:00Z</dcterms:created>
  <dcterms:modified xsi:type="dcterms:W3CDTF">2026-05-13T17:01:58Z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D284C364CDE9CA65033E046AFCBFEF2B_42</vt:lpwstr>
  </property>
  <property fmtid="{D5CDD505-2E9C-101B-9397-08002B2CF9AE}" pid="3" name="KSOProductBuildVer">
    <vt:lpwstr>2052-12.1.23141.23141</vt:lpwstr>
  </property>
</Properties>
</file>